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_Summary" sheetId="1" r:id="rId5"/>
    <sheet state="visible" name="Dashboard" sheetId="2" r:id="rId6"/>
    <sheet state="visible" name="Conversions" sheetId="3" r:id="rId7"/>
    <sheet state="visible" name="City_Summary" sheetId="4" r:id="rId8"/>
    <sheet state="visible" name="Category_Summary" sheetId="5" r:id="rId9"/>
  </sheets>
  <definedNames/>
  <calcPr/>
</workbook>
</file>

<file path=xl/sharedStrings.xml><?xml version="1.0" encoding="utf-8"?>
<sst xmlns="http://schemas.openxmlformats.org/spreadsheetml/2006/main" count="40" uniqueCount="37">
  <si>
    <t>Conversion</t>
  </si>
  <si>
    <t>KPI</t>
  </si>
  <si>
    <t>Conversion_Rate_%</t>
  </si>
  <si>
    <t>Signup → Job Posted</t>
  </si>
  <si>
    <t>Value</t>
  </si>
  <si>
    <t>Job Posted → Job Viewed</t>
  </si>
  <si>
    <t>Companies Signed Up</t>
  </si>
  <si>
    <t>Job Viewed → Application</t>
  </si>
  <si>
    <t>Companies Posted Jobs</t>
  </si>
  <si>
    <t>Companies With Job Views</t>
  </si>
  <si>
    <t>Companies Receiving Applications</t>
  </si>
  <si>
    <t>COMPANY FUNNEL — SEARCH &amp; DISCOVERY</t>
  </si>
  <si>
    <t>COMPANIES SIGNED UP</t>
  </si>
  <si>
    <t>COMPANIES POSTED JOBS</t>
  </si>
  <si>
    <t>COMPANIES WITH JOB VIEWS</t>
  </si>
  <si>
    <t>COMPANIES RECEIVING APPLICATIONS</t>
  </si>
  <si>
    <t>city</t>
  </si>
  <si>
    <t>company_signup</t>
  </si>
  <si>
    <t>job_posted</t>
  </si>
  <si>
    <t>job_viewed</t>
  </si>
  <si>
    <t>application_submitted</t>
  </si>
  <si>
    <t>Job_Posting_Rate_%</t>
  </si>
  <si>
    <t>Bangalore</t>
  </si>
  <si>
    <t>Delhi</t>
  </si>
  <si>
    <t>Gurgaon</t>
  </si>
  <si>
    <t>Hyderabad</t>
  </si>
  <si>
    <t>Lucknow</t>
  </si>
  <si>
    <t>Mumbai</t>
  </si>
  <si>
    <t>Noida</t>
  </si>
  <si>
    <t>Pune</t>
  </si>
  <si>
    <t>category</t>
  </si>
  <si>
    <t>Business Analyst</t>
  </si>
  <si>
    <t>Data Analyst</t>
  </si>
  <si>
    <t>HR</t>
  </si>
  <si>
    <t>Marketing</t>
  </si>
  <si>
    <t>Sales</t>
  </si>
  <si>
    <t>Software Engineer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</si>
</sst>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/>
    <font>
      <b/>
      <sz val="20.0"/>
      <color theme="1"/>
      <name val="Calibri"/>
    </font>
    <font>
      <b/>
      <sz val="20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center" vertical="bottom"/>
    </xf>
    <xf borderId="5" fillId="0" fontId="3" numFmtId="0" xfId="0" applyBorder="1" applyFont="1"/>
    <xf borderId="6" fillId="0" fontId="3" numFmtId="0" xfId="0" applyBorder="1" applyFont="1"/>
    <xf borderId="4" fillId="0" fontId="5" numFmtId="0" xfId="0" applyAlignment="1" applyBorder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Company-Side Funnel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KPI_Summary!$B$1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KPI_Summary!$A$2:$A$5</c:f>
            </c:strRef>
          </c:cat>
          <c:val>
            <c:numRef>
              <c:f>KPI_Summary!$B$2:$B$5</c:f>
              <c:numCache/>
            </c:numRef>
          </c:val>
        </c:ser>
        <c:axId val="542851779"/>
        <c:axId val="1561140719"/>
      </c:barChart>
      <c:catAx>
        <c:axId val="54285177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KPI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1140719"/>
      </c:catAx>
      <c:valAx>
        <c:axId val="15611407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285177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Company-Side Funnel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KPI_Summary!$B$1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KPI_Summary!$A$2:$A$5</c:f>
            </c:strRef>
          </c:cat>
          <c:val>
            <c:numRef>
              <c:f>KPI_Summary!$B$2:$B$5</c:f>
              <c:numCache/>
            </c:numRef>
          </c:val>
        </c:ser>
        <c:axId val="1502522872"/>
        <c:axId val="234512012"/>
      </c:barChart>
      <c:catAx>
        <c:axId val="15025228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KPI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4512012"/>
      </c:catAx>
      <c:valAx>
        <c:axId val="2345120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252287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Funnel Conversion Rates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Conversions!$B$1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Conversions!$A$2:$A$4</c:f>
            </c:strRef>
          </c:cat>
          <c:val>
            <c:numRef>
              <c:f>Conversions!$B$2:$B$4</c:f>
              <c:numCache/>
            </c:numRef>
          </c:val>
        </c:ser>
        <c:axId val="2057091421"/>
        <c:axId val="948272243"/>
      </c:barChart>
      <c:catAx>
        <c:axId val="20570914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Conversion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8272243"/>
      </c:catAx>
      <c:valAx>
        <c:axId val="9482722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Conversion_Rate_%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70914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jobs posted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Category_Summary!$C$1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Category_Summary!$A$2:$A$7</c:f>
            </c:strRef>
          </c:cat>
          <c:val>
            <c:numRef>
              <c:f>Category_Summary!$C$2:$C$7</c:f>
              <c:numCache/>
            </c:numRef>
          </c:val>
        </c:ser>
        <c:axId val="780457043"/>
        <c:axId val="1700426035"/>
      </c:barChart>
      <c:catAx>
        <c:axId val="7804570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0426035"/>
      </c:catAx>
      <c:valAx>
        <c:axId val="17004260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job_posted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04570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applications received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Category_Summary!$B$1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Category_Summary!$A$2:$A$7</c:f>
            </c:strRef>
          </c:cat>
          <c:val>
            <c:numRef>
              <c:f>Category_Summary!$B$2:$B$7</c:f>
              <c:numCache/>
            </c:numRef>
          </c:val>
        </c:ser>
        <c:axId val="1230236818"/>
        <c:axId val="750189559"/>
      </c:barChart>
      <c:catAx>
        <c:axId val="12302368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0189559"/>
      </c:catAx>
      <c:valAx>
        <c:axId val="7501895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application_submitted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02368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Funnel Conversion Rates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Conversions!$B$1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Conversions!$A$2:$A$4</c:f>
            </c:strRef>
          </c:cat>
          <c:val>
            <c:numRef>
              <c:f>Conversions!$B$2:$B$4</c:f>
              <c:numCache/>
            </c:numRef>
          </c:val>
        </c:ser>
        <c:axId val="941105365"/>
        <c:axId val="710050151"/>
      </c:barChart>
      <c:catAx>
        <c:axId val="9411053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Conversion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0050151"/>
      </c:catAx>
      <c:valAx>
        <c:axId val="7100501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Conversion_Rate_%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11053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job posted by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City_Summary!$C$1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3F3F3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City_Summary!$A$2:$A$9</c:f>
            </c:strRef>
          </c:cat>
          <c:val>
            <c:numRef>
              <c:f>City_Summary!$C$2:$C$9</c:f>
              <c:numCache/>
            </c:numRef>
          </c:val>
        </c:ser>
        <c:axId val="1902489379"/>
        <c:axId val="1929276241"/>
      </c:barChart>
      <c:catAx>
        <c:axId val="19024893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9276241"/>
      </c:catAx>
      <c:valAx>
        <c:axId val="19292762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job_posted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24893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applications received by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City_Summary!$E$1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City_Summary!$A$2:$A$9</c:f>
            </c:strRef>
          </c:cat>
          <c:val>
            <c:numRef>
              <c:f>City_Summary!$E$2:$E$9</c:f>
              <c:numCache/>
            </c:numRef>
          </c:val>
        </c:ser>
        <c:axId val="725056645"/>
        <c:axId val="1083875241"/>
      </c:barChart>
      <c:catAx>
        <c:axId val="7250566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3875241"/>
      </c:catAx>
      <c:valAx>
        <c:axId val="10838752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application_submitted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50566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job viewed by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City_Summary!$D$1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City_Summary!$A$2:$A$9</c:f>
            </c:strRef>
          </c:cat>
          <c:val>
            <c:numRef>
              <c:f>City_Summary!$D$2:$D$9</c:f>
              <c:numCache/>
            </c:numRef>
          </c:val>
        </c:ser>
        <c:axId val="1062295231"/>
        <c:axId val="1995250383"/>
      </c:barChart>
      <c:catAx>
        <c:axId val="1062295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5250383"/>
      </c:catAx>
      <c:valAx>
        <c:axId val="19952503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job_viewed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22952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jobs posted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Category_Summary!$C$1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Category_Summary!$A$2:$A$7</c:f>
            </c:strRef>
          </c:cat>
          <c:val>
            <c:numRef>
              <c:f>Category_Summary!$C$2:$C$7</c:f>
              <c:numCache/>
            </c:numRef>
          </c:val>
        </c:ser>
        <c:axId val="1936133767"/>
        <c:axId val="1835685409"/>
      </c:barChart>
      <c:catAx>
        <c:axId val="1936133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5685409"/>
      </c:catAx>
      <c:valAx>
        <c:axId val="18356854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job_posted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61337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jobs viewed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Category_Summary!$D$1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Category_Summary!$A$2:$A$7</c:f>
            </c:strRef>
          </c:cat>
          <c:val>
            <c:numRef>
              <c:f>Category_Summary!$D$2:$D$7</c:f>
              <c:numCache/>
            </c:numRef>
          </c:val>
        </c:ser>
        <c:axId val="968132492"/>
        <c:axId val="2119585196"/>
      </c:barChart>
      <c:catAx>
        <c:axId val="9681324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9585196"/>
      </c:catAx>
      <c:valAx>
        <c:axId val="21195851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job_viewed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81324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applications received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Category_Summary!$B$1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Category_Summary!$A$2:$A$7</c:f>
            </c:strRef>
          </c:cat>
          <c:val>
            <c:numRef>
              <c:f>Category_Summary!$B$2:$B$7</c:f>
              <c:numCache/>
            </c:numRef>
          </c:val>
        </c:ser>
        <c:axId val="921662699"/>
        <c:axId val="628068278"/>
      </c:barChart>
      <c:catAx>
        <c:axId val="9216626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8068278"/>
      </c:catAx>
      <c:valAx>
        <c:axId val="6280682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application_submitted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16626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7</xdr:row>
      <xdr:rowOff>9525</xdr:rowOff>
    </xdr:from>
    <xdr:ext cx="3429000" cy="22764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8</xdr:row>
      <xdr:rowOff>9525</xdr:rowOff>
    </xdr:from>
    <xdr:ext cx="5724525" cy="2066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47625</xdr:colOff>
      <xdr:row>8</xdr:row>
      <xdr:rowOff>9525</xdr:rowOff>
    </xdr:from>
    <xdr:ext cx="5724525" cy="20669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28575</xdr:colOff>
      <xdr:row>20</xdr:row>
      <xdr:rowOff>9525</xdr:rowOff>
    </xdr:from>
    <xdr:ext cx="5724525" cy="21240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209550</xdr:colOff>
      <xdr:row>20</xdr:row>
      <xdr:rowOff>9525</xdr:rowOff>
    </xdr:from>
    <xdr:ext cx="5562600" cy="20669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114300</xdr:colOff>
      <xdr:row>2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9</xdr:row>
      <xdr:rowOff>142875</xdr:rowOff>
    </xdr:from>
    <xdr:ext cx="3810000" cy="20002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561975</xdr:colOff>
      <xdr:row>10</xdr:row>
      <xdr:rowOff>0</xdr:rowOff>
    </xdr:from>
    <xdr:ext cx="2686050" cy="20002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266700</xdr:colOff>
      <xdr:row>0</xdr:row>
      <xdr:rowOff>66675</xdr:rowOff>
    </xdr:from>
    <xdr:ext cx="2457450" cy="14668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9</xdr:row>
      <xdr:rowOff>161925</xdr:rowOff>
    </xdr:from>
    <xdr:ext cx="2162175" cy="22383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476250</xdr:colOff>
      <xdr:row>0</xdr:row>
      <xdr:rowOff>0</xdr:rowOff>
    </xdr:from>
    <xdr:ext cx="3686175" cy="28956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209550</xdr:colOff>
      <xdr:row>16</xdr:row>
      <xdr:rowOff>9525</xdr:rowOff>
    </xdr:from>
    <xdr:ext cx="2838450" cy="182880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4</v>
      </c>
    </row>
    <row r="2">
      <c r="A2" s="1" t="s">
        <v>6</v>
      </c>
      <c r="B2" s="1">
        <v>1000.0</v>
      </c>
    </row>
    <row r="3">
      <c r="A3" s="1" t="s">
        <v>8</v>
      </c>
      <c r="B3" s="1">
        <v>700.0</v>
      </c>
    </row>
    <row r="4">
      <c r="A4" s="1" t="s">
        <v>9</v>
      </c>
      <c r="B4" s="1">
        <v>608.0</v>
      </c>
    </row>
    <row r="5">
      <c r="A5" s="1" t="s">
        <v>10</v>
      </c>
      <c r="B5" s="1">
        <v>448.0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11</v>
      </c>
    </row>
    <row r="4">
      <c r="A4" s="3" t="s">
        <v>12</v>
      </c>
      <c r="B4" s="4"/>
      <c r="C4" s="5"/>
      <c r="D4" s="3" t="s">
        <v>13</v>
      </c>
      <c r="E4" s="4"/>
      <c r="F4" s="5"/>
      <c r="G4" s="3" t="s">
        <v>14</v>
      </c>
      <c r="H4" s="4"/>
      <c r="I4" s="5"/>
      <c r="J4" s="3" t="s">
        <v>15</v>
      </c>
      <c r="K4" s="4"/>
      <c r="L4" s="5"/>
    </row>
    <row r="5">
      <c r="A5" s="6">
        <f>KPI_Summary!B2</f>
        <v>1000</v>
      </c>
      <c r="B5" s="7"/>
      <c r="C5" s="8"/>
      <c r="D5" s="9">
        <f>KPI_Summary!B3</f>
        <v>700</v>
      </c>
      <c r="E5" s="7"/>
      <c r="F5" s="8"/>
      <c r="G5" s="9">
        <f>KPI_Summary!B4</f>
        <v>608</v>
      </c>
      <c r="H5" s="7"/>
      <c r="I5" s="8"/>
      <c r="J5" s="9">
        <f>KPI_Summary!B5</f>
        <v>448</v>
      </c>
      <c r="K5" s="7"/>
      <c r="L5" s="8"/>
    </row>
    <row r="6">
      <c r="A6" s="10"/>
      <c r="B6" s="11"/>
      <c r="C6" s="12"/>
      <c r="D6" s="10"/>
      <c r="E6" s="11"/>
      <c r="F6" s="12"/>
      <c r="G6" s="10"/>
      <c r="H6" s="11"/>
      <c r="I6" s="12"/>
      <c r="J6" s="10"/>
      <c r="K6" s="11"/>
      <c r="L6" s="12"/>
    </row>
  </sheetData>
  <mergeCells count="9">
    <mergeCell ref="G5:I6"/>
    <mergeCell ref="J5:L6"/>
    <mergeCell ref="A1:L1"/>
    <mergeCell ref="A4:C4"/>
    <mergeCell ref="D4:F4"/>
    <mergeCell ref="G4:I4"/>
    <mergeCell ref="J4:L4"/>
    <mergeCell ref="A5:C6"/>
    <mergeCell ref="D5:F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</row>
    <row r="2">
      <c r="A2" s="1" t="s">
        <v>3</v>
      </c>
      <c r="B2" s="1">
        <v>70.0</v>
      </c>
    </row>
    <row r="3">
      <c r="A3" s="1" t="s">
        <v>5</v>
      </c>
      <c r="B3" s="1">
        <v>86.86</v>
      </c>
    </row>
    <row r="4">
      <c r="A4" s="1" t="s">
        <v>7</v>
      </c>
      <c r="B4" s="1">
        <v>73.68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>
      <c r="A2" s="1" t="s">
        <v>22</v>
      </c>
      <c r="B2" s="1">
        <v>113.0</v>
      </c>
      <c r="C2" s="1">
        <v>157.0</v>
      </c>
      <c r="D2" s="1">
        <v>122.0</v>
      </c>
      <c r="E2" s="1">
        <v>85.0</v>
      </c>
      <c r="F2" s="1">
        <v>138.94</v>
      </c>
    </row>
    <row r="3">
      <c r="A3" s="1" t="s">
        <v>23</v>
      </c>
      <c r="B3" s="1">
        <v>133.0</v>
      </c>
      <c r="C3" s="1">
        <v>126.0</v>
      </c>
      <c r="D3" s="1">
        <v>94.0</v>
      </c>
      <c r="E3" s="1">
        <v>59.0</v>
      </c>
      <c r="F3" s="1">
        <v>94.74</v>
      </c>
    </row>
    <row r="4">
      <c r="A4" s="1" t="s">
        <v>24</v>
      </c>
      <c r="B4" s="1">
        <v>119.0</v>
      </c>
      <c r="C4" s="1">
        <v>140.0</v>
      </c>
      <c r="D4" s="1">
        <v>113.0</v>
      </c>
      <c r="E4" s="1">
        <v>69.0</v>
      </c>
      <c r="F4" s="1">
        <v>117.65</v>
      </c>
    </row>
    <row r="5">
      <c r="A5" s="1" t="s">
        <v>25</v>
      </c>
      <c r="B5" s="1">
        <v>146.0</v>
      </c>
      <c r="C5" s="1">
        <v>136.0</v>
      </c>
      <c r="D5" s="1">
        <v>97.0</v>
      </c>
      <c r="E5" s="1">
        <v>60.0</v>
      </c>
      <c r="F5" s="1">
        <v>93.15</v>
      </c>
    </row>
    <row r="6">
      <c r="A6" s="1" t="s">
        <v>26</v>
      </c>
      <c r="B6" s="1">
        <v>134.0</v>
      </c>
      <c r="C6" s="1">
        <v>137.0</v>
      </c>
      <c r="D6" s="1">
        <v>101.0</v>
      </c>
      <c r="E6" s="1">
        <v>64.0</v>
      </c>
      <c r="F6" s="1">
        <v>102.24</v>
      </c>
    </row>
    <row r="7">
      <c r="A7" s="1" t="s">
        <v>27</v>
      </c>
      <c r="B7" s="1">
        <v>117.0</v>
      </c>
      <c r="C7" s="1">
        <v>147.0</v>
      </c>
      <c r="D7" s="1">
        <v>118.0</v>
      </c>
      <c r="E7" s="1">
        <v>90.0</v>
      </c>
      <c r="F7" s="1">
        <v>125.64</v>
      </c>
    </row>
    <row r="8">
      <c r="A8" s="1" t="s">
        <v>28</v>
      </c>
      <c r="B8" s="1">
        <v>113.0</v>
      </c>
      <c r="C8" s="1">
        <v>149.0</v>
      </c>
      <c r="D8" s="1">
        <v>102.0</v>
      </c>
      <c r="E8" s="1">
        <v>60.0</v>
      </c>
      <c r="F8" s="1">
        <v>131.86</v>
      </c>
    </row>
    <row r="9">
      <c r="A9" s="1" t="s">
        <v>29</v>
      </c>
      <c r="B9" s="1">
        <v>125.0</v>
      </c>
      <c r="C9" s="1">
        <v>132.0</v>
      </c>
      <c r="D9" s="1">
        <v>102.0</v>
      </c>
      <c r="E9" s="1">
        <v>60.0</v>
      </c>
      <c r="F9" s="1">
        <v>105.6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30</v>
      </c>
      <c r="B1" s="1" t="s">
        <v>20</v>
      </c>
      <c r="C1" s="1" t="s">
        <v>18</v>
      </c>
      <c r="D1" s="1" t="s">
        <v>19</v>
      </c>
    </row>
    <row r="2">
      <c r="A2" s="1" t="s">
        <v>31</v>
      </c>
      <c r="B2" s="1">
        <v>90.0</v>
      </c>
      <c r="C2" s="1">
        <v>178.0</v>
      </c>
      <c r="D2" s="1">
        <v>134.0</v>
      </c>
    </row>
    <row r="3">
      <c r="A3" s="1" t="s">
        <v>32</v>
      </c>
      <c r="B3" s="1">
        <v>92.0</v>
      </c>
      <c r="C3" s="1">
        <v>186.0</v>
      </c>
      <c r="D3" s="1">
        <v>146.0</v>
      </c>
    </row>
    <row r="4">
      <c r="A4" s="1" t="s">
        <v>33</v>
      </c>
      <c r="B4" s="1">
        <v>103.0</v>
      </c>
      <c r="C4" s="1">
        <v>196.0</v>
      </c>
      <c r="D4" s="1">
        <v>155.0</v>
      </c>
    </row>
    <row r="5">
      <c r="A5" s="1" t="s">
        <v>34</v>
      </c>
      <c r="B5" s="1">
        <v>93.0</v>
      </c>
      <c r="C5" s="1">
        <v>179.0</v>
      </c>
      <c r="D5" s="1">
        <v>135.0</v>
      </c>
    </row>
    <row r="6">
      <c r="A6" s="1" t="s">
        <v>35</v>
      </c>
      <c r="B6" s="1">
        <v>80.0</v>
      </c>
      <c r="C6" s="1">
        <v>182.0</v>
      </c>
      <c r="D6" s="1">
        <v>130.0</v>
      </c>
    </row>
    <row r="7">
      <c r="A7" s="1" t="s">
        <v>36</v>
      </c>
      <c r="B7" s="1">
        <v>89.0</v>
      </c>
      <c r="C7" s="1">
        <v>184.0</v>
      </c>
      <c r="D7" s="1">
        <v>137.0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